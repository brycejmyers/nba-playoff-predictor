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ckolson/Desktop/STAT766/Stat 766 Final Project/visualizations/"/>
    </mc:Choice>
  </mc:AlternateContent>
  <xr:revisionPtr revIDLastSave="0" documentId="13_ncr:1_{77931F99-9E56-DF40-B07A-54E776C13523}" xr6:coauthVersionLast="47" xr6:coauthVersionMax="47" xr10:uidLastSave="{00000000-0000-0000-0000-000000000000}"/>
  <bookViews>
    <workbookView xWindow="0" yWindow="0" windowWidth="28800" windowHeight="18000" xr2:uid="{B4B1B911-3944-6F42-88D5-05FA7DC3E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3" i="1"/>
  <c r="C2" i="1"/>
</calcChain>
</file>

<file path=xl/sharedStrings.xml><?xml version="1.0" encoding="utf-8"?>
<sst xmlns="http://schemas.openxmlformats.org/spreadsheetml/2006/main" count="60" uniqueCount="56">
  <si>
    <t>Metric</t>
  </si>
  <si>
    <t>Calculation</t>
  </si>
  <si>
    <t>Value</t>
  </si>
  <si>
    <t>Interpretation</t>
  </si>
  <si>
    <t>Total Test Teams</t>
  </si>
  <si>
    <t>Correct Predictions</t>
  </si>
  <si>
    <t>Incorrect Predictions</t>
  </si>
  <si>
    <t>Accuracy</t>
  </si>
  <si>
    <t>Model</t>
  </si>
  <si>
    <t>Avg. Accuracy</t>
  </si>
  <si>
    <t>Avg. Precision</t>
  </si>
  <si>
    <t>Avg. Recall</t>
  </si>
  <si>
    <t>Avg. F1 Score</t>
  </si>
  <si>
    <t>Avg. ROC-AUC</t>
  </si>
  <si>
    <r>
      <t xml:space="preserve">the </t>
    </r>
    <r>
      <rPr>
        <b/>
        <sz val="12"/>
        <color theme="1"/>
        <rFont val="Arial"/>
        <family val="2"/>
      </rPr>
      <t>Logistic Regression Pipeline</t>
    </r>
    <r>
      <rPr>
        <sz val="12"/>
        <color theme="1"/>
        <rFont val="Aptos Narrow"/>
        <family val="2"/>
        <scheme val="minor"/>
      </rPr>
      <t xml:space="preserve">, on the held-out </t>
    </r>
    <r>
      <rPr>
        <sz val="12"/>
        <color theme="1"/>
        <rFont val="Arial"/>
        <family val="2"/>
      </rPr>
      <t>20%</t>
    </r>
    <r>
      <rPr>
        <sz val="12"/>
        <color theme="1"/>
        <rFont val="Aptos Narrow"/>
        <family val="2"/>
        <scheme val="minor"/>
      </rPr>
      <t xml:space="preserve"> test set (90 team-seasons)</t>
    </r>
  </si>
  <si>
    <t>F1 Score</t>
  </si>
  <si>
    <t>ROC-AUC</t>
  </si>
  <si>
    <t>35+42+7+6</t>
  </si>
  <si>
    <t>Class</t>
  </si>
  <si>
    <t>Precision</t>
  </si>
  <si>
    <t>Recall</t>
  </si>
  <si>
    <t>F1-Score</t>
  </si>
  <si>
    <t>Support</t>
  </si>
  <si>
    <t>0 (Miss)</t>
  </si>
  <si>
    <t>1 (Make)</t>
  </si>
  <si>
    <t>Total/Avg</t>
  </si>
  <si>
    <t>Score</t>
  </si>
  <si>
    <t>Meaning for NBA Prediction</t>
  </si>
  <si>
    <t>This is the harmonic mean of Precision and Recall. It provides a single, balanced score for the model's overall performance.</t>
  </si>
  <si>
    <t>Classification Report</t>
  </si>
  <si>
    <t>TN + TP = 33+41</t>
  </si>
  <si>
    <t>Overall, the model is correct about 82.2% of the time</t>
  </si>
  <si>
    <t>Correct/total = 74/90</t>
  </si>
  <si>
    <t>FP + FN = 7+9</t>
  </si>
  <si>
    <r>
      <t xml:space="preserve">Of all the teams that </t>
    </r>
    <r>
      <rPr>
        <b/>
        <sz val="12"/>
        <color rgb="FF1F1F1F"/>
        <rFont val="Arial"/>
        <family val="2"/>
      </rPr>
      <t>actually made</t>
    </r>
    <r>
      <rPr>
        <sz val="12"/>
        <color rgb="FF1F1F1F"/>
        <rFont val="Arial"/>
        <family val="2"/>
      </rPr>
      <t xml:space="preserve"> the playoffs (Actual Positives), 85.42% were correctly identified. This score minimizes </t>
    </r>
    <r>
      <rPr>
        <b/>
        <sz val="12"/>
        <color rgb="FF1F1F1F"/>
        <rFont val="Arial"/>
        <family val="2"/>
      </rPr>
      <t>False Negatives</t>
    </r>
    <r>
      <rPr>
        <sz val="12"/>
        <color rgb="FF1F1F1F"/>
        <rFont val="Arial"/>
        <family val="2"/>
      </rPr>
      <t xml:space="preserve"> (playoff teams the model missed).</t>
    </r>
  </si>
  <si>
    <r>
      <t xml:space="preserve">Of all the teams the model </t>
    </r>
    <r>
      <rPr>
        <b/>
        <sz val="12"/>
        <color rgb="FF1F1F1F"/>
        <rFont val="Arial"/>
        <family val="2"/>
      </rPr>
      <t>predicted</t>
    </r>
    <r>
      <rPr>
        <sz val="12"/>
        <color rgb="FF1F1F1F"/>
        <rFont val="Arial"/>
        <family val="2"/>
      </rPr>
      <t xml:space="preserve"> would make the playoffs (Positive Predictions), 82% actually did. This score minimizes </t>
    </r>
    <r>
      <rPr>
        <b/>
        <sz val="12"/>
        <color rgb="FF1F1F1F"/>
        <rFont val="Arial"/>
        <family val="2"/>
      </rPr>
      <t>False Positives</t>
    </r>
    <r>
      <rPr>
        <sz val="12"/>
        <color rgb="FF1F1F1F"/>
        <rFont val="Arial"/>
        <family val="2"/>
      </rPr>
      <t xml:space="preserve"> (teams wrongly predicted to make it).</t>
    </r>
  </si>
  <si>
    <r>
      <t xml:space="preserve">The model's ability to distinguish between playoff-making teams (positive class) and non-playoff teams (negative class) is very strong. A score of $1.0$ is perfect; $0.5$ is random. </t>
    </r>
    <r>
      <rPr>
        <b/>
        <sz val="12"/>
        <color rgb="FF1F1F1F"/>
        <rFont val="Arial"/>
        <family val="2"/>
      </rPr>
      <t>$0.9221$ is outstanding.</t>
    </r>
  </si>
  <si>
    <r>
      <t xml:space="preserve">The model correctly predicted the outcome (Playoffs or Miss) for </t>
    </r>
    <r>
      <rPr>
        <b/>
        <sz val="12"/>
        <color rgb="FF1F1F1F"/>
        <rFont val="Arial"/>
        <family val="2"/>
      </rPr>
      <t>82.22% of the teams</t>
    </r>
    <r>
      <rPr>
        <sz val="12"/>
        <color rgb="FF1F1F1F"/>
        <rFont val="Arial"/>
        <family val="2"/>
      </rPr>
      <t xml:space="preserve"> in the test set.</t>
    </r>
  </si>
  <si>
    <t>Logistic Regression</t>
  </si>
  <si>
    <t>Gradient Boosting</t>
  </si>
  <si>
    <t>Random Forest</t>
  </si>
  <si>
    <t>0.9410 (±0.0187)</t>
  </si>
  <si>
    <t>0.8753 (±0.0161)</t>
  </si>
  <si>
    <t>0.8546 (± 0.0379)</t>
  </si>
  <si>
    <t>0.8560 (± 0.0259)</t>
  </si>
  <si>
    <t>0.7920 (± 0.0247)</t>
  </si>
  <si>
    <t>0.7627 (± 0.0408)</t>
  </si>
  <si>
    <t>0.8620 (± 0.0282)</t>
  </si>
  <si>
    <t>0.7959 (± 0.0373)</t>
  </si>
  <si>
    <t>0.7892 (± 0.0348)</t>
  </si>
  <si>
    <t>0.8724 (± 0.0401)</t>
  </si>
  <si>
    <t>0.8208 (± 0.0284)</t>
  </si>
  <si>
    <t>0.7480 (± 0.0490)</t>
  </si>
  <si>
    <t>0.8587 (± 0.0751)</t>
  </si>
  <si>
    <t>0.7773 (± 0.0723)</t>
  </si>
  <si>
    <t>0.8438 (± 0.0823)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</si>
</sst>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10" fontId="1" fillId="0" borderId="0" xfId="0" applyNumberFormat="1" applyFont="1"/>
    <xf numFmtId="0" fontId="0" fillId="0" borderId="0" xfId="0" applyAlignment="1">
      <alignment horizontal="left"/>
    </xf>
    <xf numFmtId="8" fontId="1" fillId="0" borderId="0" xfId="0" applyNumberFormat="1" applyFont="1"/>
    <xf numFmtId="0" fontId="2" fillId="0" borderId="0" xfId="0" applyFont="1" applyAlignme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8DDE-A53F-EC4C-A8BC-0D23EDB837A8}">
  <dimension ref="A1:F31"/>
  <sheetViews>
    <sheetView tabSelected="1" topLeftCell="A8" zoomScale="141" workbookViewId="0">
      <selection activeCell="D13" sqref="D13"/>
    </sheetView>
  </sheetViews>
  <sheetFormatPr baseColWidth="10" defaultRowHeight="16" x14ac:dyDescent="0.2"/>
  <cols>
    <col min="1" max="1" width="21.5" bestFit="1" customWidth="1"/>
    <col min="2" max="2" width="19.6640625" bestFit="1" customWidth="1"/>
    <col min="3" max="3" width="21.6640625" bestFit="1" customWidth="1"/>
    <col min="4" max="4" width="51" bestFit="1" customWidth="1"/>
    <col min="5" max="6" width="21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 s="1" t="s">
        <v>4</v>
      </c>
      <c r="B2" s="2" t="s">
        <v>17</v>
      </c>
      <c r="C2" s="2">
        <f>35+41+7+7</f>
        <v>90</v>
      </c>
      <c r="D2" s="2"/>
    </row>
    <row r="3" spans="1:6" x14ac:dyDescent="0.2">
      <c r="A3" s="1" t="s">
        <v>5</v>
      </c>
      <c r="B3" s="2" t="s">
        <v>30</v>
      </c>
      <c r="C3" s="2">
        <f>33+41</f>
        <v>74</v>
      </c>
      <c r="D3" s="2"/>
    </row>
    <row r="4" spans="1:6" x14ac:dyDescent="0.2">
      <c r="A4" s="1" t="s">
        <v>6</v>
      </c>
      <c r="B4" s="2" t="s">
        <v>33</v>
      </c>
      <c r="C4" s="2">
        <f>16</f>
        <v>16</v>
      </c>
      <c r="D4" s="2"/>
    </row>
    <row r="5" spans="1:6" x14ac:dyDescent="0.2">
      <c r="A5" s="1" t="s">
        <v>7</v>
      </c>
      <c r="B5" s="2" t="s">
        <v>32</v>
      </c>
      <c r="C5" s="3">
        <f>74/90</f>
        <v>0.82222222222222219</v>
      </c>
      <c r="D5" s="2" t="s">
        <v>31</v>
      </c>
    </row>
    <row r="11" spans="1:6" x14ac:dyDescent="0.2">
      <c r="A11" s="1" t="s">
        <v>8</v>
      </c>
      <c r="B11" s="1" t="s">
        <v>13</v>
      </c>
      <c r="C11" s="1" t="s">
        <v>9</v>
      </c>
      <c r="D11" s="1" t="s">
        <v>12</v>
      </c>
      <c r="E11" s="1" t="s">
        <v>10</v>
      </c>
      <c r="F11" s="1" t="s">
        <v>11</v>
      </c>
    </row>
    <row r="12" spans="1:6" x14ac:dyDescent="0.2">
      <c r="A12" s="1" t="s">
        <v>38</v>
      </c>
      <c r="B12" s="1" t="s">
        <v>41</v>
      </c>
      <c r="C12" s="1" t="s">
        <v>44</v>
      </c>
      <c r="D12" s="1" t="s">
        <v>47</v>
      </c>
      <c r="E12" s="1" t="s">
        <v>50</v>
      </c>
      <c r="F12" s="1" t="s">
        <v>53</v>
      </c>
    </row>
    <row r="13" spans="1:6" x14ac:dyDescent="0.2">
      <c r="A13" s="2" t="s">
        <v>39</v>
      </c>
      <c r="B13" s="2" t="s">
        <v>42</v>
      </c>
      <c r="C13" s="2" t="s">
        <v>45</v>
      </c>
      <c r="D13" s="2" t="s">
        <v>48</v>
      </c>
      <c r="E13" s="2" t="s">
        <v>51</v>
      </c>
      <c r="F13" s="2" t="s">
        <v>54</v>
      </c>
    </row>
    <row r="14" spans="1:6" x14ac:dyDescent="0.2">
      <c r="A14" s="2" t="s">
        <v>40</v>
      </c>
      <c r="B14" s="2" t="s">
        <v>43</v>
      </c>
      <c r="C14" s="2" t="s">
        <v>46</v>
      </c>
      <c r="D14" s="2" t="s">
        <v>49</v>
      </c>
      <c r="E14" s="2" t="s">
        <v>52</v>
      </c>
      <c r="F14" s="2" t="s">
        <v>55</v>
      </c>
    </row>
    <row r="15" spans="1:6" x14ac:dyDescent="0.2">
      <c r="A15" s="1"/>
      <c r="B15" s="2"/>
      <c r="C15" s="2"/>
      <c r="D15" s="2"/>
      <c r="E15" s="2"/>
      <c r="F15" s="2"/>
    </row>
    <row r="16" spans="1:6" x14ac:dyDescent="0.2">
      <c r="B16" s="2"/>
    </row>
    <row r="17" spans="1:5" x14ac:dyDescent="0.2">
      <c r="A17" t="s">
        <v>14</v>
      </c>
    </row>
    <row r="19" spans="1:5" x14ac:dyDescent="0.2">
      <c r="A19" s="1" t="s">
        <v>0</v>
      </c>
      <c r="B19" s="1" t="s">
        <v>26</v>
      </c>
      <c r="C19" s="1" t="s">
        <v>27</v>
      </c>
      <c r="D19" s="6"/>
      <c r="E19" s="6"/>
    </row>
    <row r="20" spans="1:5" x14ac:dyDescent="0.2">
      <c r="A20" s="1" t="s">
        <v>7</v>
      </c>
      <c r="B20" s="1">
        <v>0.82220000000000004</v>
      </c>
      <c r="C20" s="2" t="s">
        <v>37</v>
      </c>
      <c r="D20" s="6"/>
      <c r="E20" s="6"/>
    </row>
    <row r="21" spans="1:5" x14ac:dyDescent="0.2">
      <c r="A21" s="1" t="s">
        <v>16</v>
      </c>
      <c r="B21" s="1">
        <v>0.92210000000000003</v>
      </c>
      <c r="C21" s="2" t="s">
        <v>36</v>
      </c>
      <c r="D21" s="6"/>
      <c r="E21" s="6"/>
    </row>
    <row r="22" spans="1:5" x14ac:dyDescent="0.2">
      <c r="A22" s="1" t="s">
        <v>19</v>
      </c>
      <c r="B22" s="1">
        <v>0.82</v>
      </c>
      <c r="C22" s="2" t="s">
        <v>35</v>
      </c>
      <c r="D22" s="6"/>
      <c r="E22" s="6"/>
    </row>
    <row r="23" spans="1:5" x14ac:dyDescent="0.2">
      <c r="A23" s="1" t="s">
        <v>20</v>
      </c>
      <c r="B23" s="1">
        <v>0.85419999999999996</v>
      </c>
      <c r="C23" s="2" t="s">
        <v>34</v>
      </c>
      <c r="D23" s="4"/>
      <c r="E23" s="4"/>
    </row>
    <row r="24" spans="1:5" x14ac:dyDescent="0.2">
      <c r="A24" s="1" t="s">
        <v>15</v>
      </c>
      <c r="B24" s="1">
        <v>0.8367</v>
      </c>
      <c r="C24" s="2" t="s">
        <v>28</v>
      </c>
    </row>
    <row r="27" spans="1:5" x14ac:dyDescent="0.2">
      <c r="A27" s="7" t="s">
        <v>29</v>
      </c>
    </row>
    <row r="28" spans="1:5" x14ac:dyDescent="0.2">
      <c r="A28" s="1" t="s">
        <v>18</v>
      </c>
      <c r="B28" s="1" t="s">
        <v>19</v>
      </c>
      <c r="C28" s="1" t="s">
        <v>20</v>
      </c>
      <c r="D28" s="1" t="s">
        <v>21</v>
      </c>
      <c r="E28" s="1" t="s">
        <v>22</v>
      </c>
    </row>
    <row r="29" spans="1:5" x14ac:dyDescent="0.2">
      <c r="A29" s="1" t="s">
        <v>23</v>
      </c>
      <c r="B29" s="2">
        <v>0.82</v>
      </c>
      <c r="C29" s="2">
        <v>0.79</v>
      </c>
      <c r="D29" s="2">
        <v>0.8</v>
      </c>
      <c r="E29" s="2">
        <v>42</v>
      </c>
    </row>
    <row r="30" spans="1:5" x14ac:dyDescent="0.2">
      <c r="A30" s="1" t="s">
        <v>24</v>
      </c>
      <c r="B30" s="5">
        <v>0.82</v>
      </c>
      <c r="C30" s="2">
        <v>0.85</v>
      </c>
      <c r="D30" s="2">
        <v>0.84</v>
      </c>
      <c r="E30" s="2">
        <v>48</v>
      </c>
    </row>
    <row r="31" spans="1:5" x14ac:dyDescent="0.2">
      <c r="A31" s="1" t="s">
        <v>25</v>
      </c>
      <c r="B31" s="2">
        <v>0.82</v>
      </c>
      <c r="C31" s="2">
        <v>0.82</v>
      </c>
      <c r="D31" s="2">
        <v>0.82</v>
      </c>
      <c r="E31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Olson, Brock A</dc:creator>
  <cp:lastModifiedBy>Olson, Brock A</cp:lastModifiedBy>
  <dcterms:created xsi:type="dcterms:W3CDTF">2025-12-08T14:39:29Z</dcterms:created>
  <dcterms:modified xsi:type="dcterms:W3CDTF">2025-12-09T22:26:44Z</dcterms:modified>
</cp:coreProperties>
</file>